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0c9661624813381/Documents/R/Mesopelagic_Zooplankton_AA-CSIA_Synthesis/Data/"/>
    </mc:Choice>
  </mc:AlternateContent>
  <xr:revisionPtr revIDLastSave="209" documentId="13_ncr:1_{F033B481-1499-4CD2-ADEB-2AEC239391CD}" xr6:coauthVersionLast="47" xr6:coauthVersionMax="47" xr10:uidLastSave="{9FADD51C-A69C-4192-B172-96D26177277D}"/>
  <bookViews>
    <workbookView xWindow="-90" yWindow="-90" windowWidth="19380" windowHeight="11460" activeTab="1" xr2:uid="{00000000-000D-0000-FFFF-FFFF00000000}"/>
  </bookViews>
  <sheets>
    <sheet name="Romero-Romero2020" sheetId="1" r:id="rId1"/>
    <sheet name="Romero-Romero2020(wPAP)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" l="1"/>
  <c r="L5" i="2"/>
  <c r="L4" i="2"/>
  <c r="L3" i="2"/>
  <c r="Y7" i="2"/>
  <c r="AN7" i="2"/>
  <c r="O7" i="2"/>
</calcChain>
</file>

<file path=xl/sharedStrings.xml><?xml version="1.0" encoding="utf-8"?>
<sst xmlns="http://schemas.openxmlformats.org/spreadsheetml/2006/main" count="231" uniqueCount="72">
  <si>
    <t>Site</t>
  </si>
  <si>
    <t>lat</t>
  </si>
  <si>
    <t>long</t>
  </si>
  <si>
    <t>x</t>
  </si>
  <si>
    <t>y</t>
  </si>
  <si>
    <t>date</t>
  </si>
  <si>
    <t>julian date</t>
  </si>
  <si>
    <t>NPP (C-14)</t>
  </si>
  <si>
    <t>NPP (VGPM)</t>
  </si>
  <si>
    <t>NPP (CbPM)</t>
  </si>
  <si>
    <t>PAR1</t>
  </si>
  <si>
    <t>PAR01</t>
  </si>
  <si>
    <t>PPZ</t>
  </si>
  <si>
    <t>MLDmax</t>
  </si>
  <si>
    <t>fluxTh.PAR1</t>
  </si>
  <si>
    <t>fluxTh.PAR01</t>
  </si>
  <si>
    <t>fluxTh.PPZ</t>
  </si>
  <si>
    <t>fluxTh.MLDmax</t>
  </si>
  <si>
    <t>fluxTh.200</t>
  </si>
  <si>
    <t>SDfluxTh.200</t>
  </si>
  <si>
    <t>fluxC.PAR1</t>
  </si>
  <si>
    <t>fluxC.PAR01</t>
  </si>
  <si>
    <t>fluxC.PPZ</t>
  </si>
  <si>
    <t>fluxC.PPZ.avg</t>
  </si>
  <si>
    <t>SDfluxC.PPZ.avg</t>
  </si>
  <si>
    <t>fluxC.MLDmax</t>
  </si>
  <si>
    <t>fluxC.200</t>
  </si>
  <si>
    <t>EE.PAR1</t>
  </si>
  <si>
    <t>EE.PAR01</t>
  </si>
  <si>
    <t>EE.PPZ</t>
  </si>
  <si>
    <t>EE.PPZ.avg</t>
  </si>
  <si>
    <t>SD.PPZ.avg</t>
  </si>
  <si>
    <t>EE.MLDmax</t>
  </si>
  <si>
    <t>EE.200</t>
  </si>
  <si>
    <t>migbio.PAR1</t>
  </si>
  <si>
    <t>migbio.PAR01</t>
  </si>
  <si>
    <t>migbio.MLDmax</t>
  </si>
  <si>
    <t>migbio.PPZ</t>
  </si>
  <si>
    <t>migbio.200</t>
  </si>
  <si>
    <t>smpart.PAR1</t>
  </si>
  <si>
    <t>smpart.PAR01</t>
  </si>
  <si>
    <t>smpart.PPZ</t>
  </si>
  <si>
    <t>smpart.MLDmax</t>
  </si>
  <si>
    <t>smpart.200</t>
  </si>
  <si>
    <t>smpart.total</t>
  </si>
  <si>
    <t>...46</t>
  </si>
  <si>
    <t>smpart.util.1000</t>
  </si>
  <si>
    <t>SDsmpart.util.1000</t>
  </si>
  <si>
    <t>smpart.util.avg</t>
  </si>
  <si>
    <t>SDsmpart.util.avg</t>
  </si>
  <si>
    <t>8/30/2015-9/9/2015</t>
  </si>
  <si>
    <t>242-252</t>
  </si>
  <si>
    <t>NA</t>
  </si>
  <si>
    <t>8/19/2015-8/25/2015</t>
  </si>
  <si>
    <t>232-242</t>
  </si>
  <si>
    <t>8/1/2014-9/10/2014</t>
  </si>
  <si>
    <t>213-223</t>
  </si>
  <si>
    <t>2/19/2014-2/28/2014</t>
  </si>
  <si>
    <t>50-60</t>
  </si>
  <si>
    <t>OSP</t>
  </si>
  <si>
    <t>8/1/2018-9/1/2019</t>
  </si>
  <si>
    <t>213-244</t>
  </si>
  <si>
    <t>prop.migbio.200</t>
  </si>
  <si>
    <t>NPP (best)</t>
  </si>
  <si>
    <t>5 N</t>
  </si>
  <si>
    <t>8 N</t>
  </si>
  <si>
    <t>ALOHA S</t>
  </si>
  <si>
    <t>ALOHA W</t>
  </si>
  <si>
    <t>PAP</t>
  </si>
  <si>
    <t>bio.200.night</t>
  </si>
  <si>
    <t>bio.200.day</t>
  </si>
  <si>
    <t>NPP (CAFE)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</si>
</sst>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RowHeight="14.75" x14ac:dyDescent="0.75"/>
  <cols>
    <col min="9" max="9" width="9.31640625" bestFit="1" customWidth="1"/>
    <col min="10" max="10" width="10.86328125" bestFit="1" customWidth="1"/>
    <col min="11" max="11" width="10.54296875" bestFit="1" customWidth="1"/>
    <col min="40" max="40" width="11.6796875" bestFit="1" customWidth="1"/>
    <col min="41" max="41" width="14.08984375" bestFit="1" customWidth="1"/>
  </cols>
  <sheetData>
    <row r="1" spans="1:52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63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62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</row>
    <row r="2" spans="1:52" x14ac:dyDescent="0.75">
      <c r="A2" t="s">
        <v>64</v>
      </c>
      <c r="B2">
        <v>5</v>
      </c>
      <c r="C2">
        <v>155</v>
      </c>
      <c r="D2">
        <v>150</v>
      </c>
      <c r="E2">
        <v>510</v>
      </c>
      <c r="F2" t="s">
        <v>50</v>
      </c>
      <c r="G2" t="s">
        <v>51</v>
      </c>
      <c r="H2">
        <v>140</v>
      </c>
      <c r="I2" t="s">
        <v>52</v>
      </c>
      <c r="J2">
        <v>140</v>
      </c>
      <c r="K2">
        <v>523</v>
      </c>
      <c r="L2" t="s">
        <v>52</v>
      </c>
      <c r="M2" t="s">
        <v>52</v>
      </c>
      <c r="N2">
        <v>166</v>
      </c>
      <c r="O2">
        <v>120</v>
      </c>
      <c r="P2" t="s">
        <v>52</v>
      </c>
      <c r="Q2" t="s">
        <v>52</v>
      </c>
      <c r="R2">
        <v>353.64</v>
      </c>
      <c r="S2">
        <v>453</v>
      </c>
      <c r="T2">
        <v>287</v>
      </c>
      <c r="U2">
        <v>187</v>
      </c>
      <c r="V2" t="s">
        <v>52</v>
      </c>
      <c r="W2" t="s">
        <v>52</v>
      </c>
      <c r="X2">
        <v>510.38</v>
      </c>
      <c r="Y2">
        <v>369.75</v>
      </c>
      <c r="Z2">
        <v>133.04087717690399</v>
      </c>
      <c r="AA2">
        <v>1037.5</v>
      </c>
      <c r="AB2">
        <v>440</v>
      </c>
      <c r="AC2">
        <v>0</v>
      </c>
      <c r="AD2">
        <v>0</v>
      </c>
      <c r="AE2">
        <v>1.17104397705545E-2</v>
      </c>
      <c r="AF2">
        <v>8.4837476099426396E-3</v>
      </c>
      <c r="AG2">
        <v>3.0525631474624202E-3</v>
      </c>
      <c r="AH2">
        <v>2.38049713193117E-2</v>
      </c>
      <c r="AI2">
        <v>2.38049713193117E-2</v>
      </c>
      <c r="AJ2">
        <v>-20.2285</v>
      </c>
      <c r="AK2">
        <v>34.938000000000002</v>
      </c>
      <c r="AL2">
        <v>1.8381000000000101</v>
      </c>
      <c r="AM2">
        <v>25</v>
      </c>
      <c r="AN2">
        <v>118.729</v>
      </c>
      <c r="AO2">
        <v>6.9000000000000006E-2</v>
      </c>
      <c r="AP2">
        <v>0.93</v>
      </c>
      <c r="AQ2">
        <v>0.91</v>
      </c>
      <c r="AR2" t="s">
        <v>52</v>
      </c>
      <c r="AS2">
        <v>0.78</v>
      </c>
      <c r="AT2">
        <v>0.9</v>
      </c>
      <c r="AU2">
        <v>0.93</v>
      </c>
      <c r="AV2" t="s">
        <v>52</v>
      </c>
      <c r="AW2">
        <v>0.98399999999999999</v>
      </c>
      <c r="AX2">
        <v>1.9E-2</v>
      </c>
      <c r="AY2">
        <v>0.98399999999999999</v>
      </c>
      <c r="AZ2">
        <v>1.9E-2</v>
      </c>
    </row>
    <row r="3" spans="1:52" x14ac:dyDescent="0.75">
      <c r="A3" t="s">
        <v>65</v>
      </c>
      <c r="B3">
        <v>8</v>
      </c>
      <c r="C3">
        <v>155</v>
      </c>
      <c r="D3">
        <v>150</v>
      </c>
      <c r="E3">
        <v>492</v>
      </c>
      <c r="F3" t="s">
        <v>53</v>
      </c>
      <c r="G3" t="s">
        <v>54</v>
      </c>
      <c r="H3">
        <v>108</v>
      </c>
      <c r="I3" t="s">
        <v>52</v>
      </c>
      <c r="J3">
        <v>108</v>
      </c>
      <c r="K3">
        <v>323</v>
      </c>
      <c r="L3" t="s">
        <v>52</v>
      </c>
      <c r="M3" t="s">
        <v>52</v>
      </c>
      <c r="N3">
        <v>161</v>
      </c>
      <c r="O3">
        <v>120</v>
      </c>
      <c r="P3" t="s">
        <v>52</v>
      </c>
      <c r="Q3" t="s">
        <v>52</v>
      </c>
      <c r="R3">
        <v>45.24</v>
      </c>
      <c r="S3">
        <v>145</v>
      </c>
      <c r="T3">
        <v>0</v>
      </c>
      <c r="U3">
        <v>117</v>
      </c>
      <c r="V3" t="s">
        <v>52</v>
      </c>
      <c r="W3" t="s">
        <v>52</v>
      </c>
      <c r="X3">
        <v>64.739999999999995</v>
      </c>
      <c r="Y3">
        <v>27.6666666666667</v>
      </c>
      <c r="Z3">
        <v>32</v>
      </c>
      <c r="AA3">
        <v>207.5</v>
      </c>
      <c r="AB3">
        <v>0</v>
      </c>
      <c r="AC3">
        <v>0</v>
      </c>
      <c r="AD3">
        <v>0</v>
      </c>
      <c r="AE3">
        <v>2.4052012383900898E-3</v>
      </c>
      <c r="AF3">
        <v>1.0278637770897801E-3</v>
      </c>
      <c r="AG3">
        <v>1.1888544891640899E-3</v>
      </c>
      <c r="AH3">
        <v>7.7089783281733704E-3</v>
      </c>
      <c r="AI3">
        <v>7.7089783281733704E-3</v>
      </c>
      <c r="AJ3">
        <v>197.62799999999999</v>
      </c>
      <c r="AK3">
        <v>178.17949999999999</v>
      </c>
      <c r="AL3">
        <v>189.8486</v>
      </c>
      <c r="AM3">
        <v>184</v>
      </c>
      <c r="AN3">
        <v>188.99199999999999</v>
      </c>
      <c r="AO3">
        <v>0.112</v>
      </c>
      <c r="AP3">
        <v>0.92</v>
      </c>
      <c r="AQ3">
        <v>0.82</v>
      </c>
      <c r="AR3" t="s">
        <v>52</v>
      </c>
      <c r="AS3">
        <v>0.86</v>
      </c>
      <c r="AT3">
        <v>0.92</v>
      </c>
      <c r="AU3">
        <v>0.92</v>
      </c>
      <c r="AV3" t="s">
        <v>52</v>
      </c>
      <c r="AW3">
        <v>0.66700000000000004</v>
      </c>
      <c r="AX3">
        <v>0.251</v>
      </c>
      <c r="AY3">
        <v>0.66700000000000004</v>
      </c>
      <c r="AZ3">
        <v>0.251</v>
      </c>
    </row>
    <row r="4" spans="1:52" x14ac:dyDescent="0.75">
      <c r="A4" t="s">
        <v>66</v>
      </c>
      <c r="B4">
        <v>22.75</v>
      </c>
      <c r="C4">
        <v>158</v>
      </c>
      <c r="D4">
        <v>132</v>
      </c>
      <c r="E4">
        <v>403.5</v>
      </c>
      <c r="F4" t="s">
        <v>55</v>
      </c>
      <c r="G4" t="s">
        <v>56</v>
      </c>
      <c r="H4">
        <v>633.1</v>
      </c>
      <c r="I4">
        <v>633.1</v>
      </c>
      <c r="J4">
        <v>194</v>
      </c>
      <c r="K4">
        <v>625</v>
      </c>
      <c r="L4">
        <v>116</v>
      </c>
      <c r="M4">
        <v>152</v>
      </c>
      <c r="N4">
        <v>180</v>
      </c>
      <c r="O4">
        <v>104</v>
      </c>
      <c r="P4">
        <v>395.56</v>
      </c>
      <c r="Q4">
        <v>590</v>
      </c>
      <c r="R4">
        <v>714.4</v>
      </c>
      <c r="S4">
        <v>265</v>
      </c>
      <c r="T4">
        <v>836</v>
      </c>
      <c r="U4">
        <v>121</v>
      </c>
      <c r="V4">
        <v>1870.64</v>
      </c>
      <c r="W4">
        <v>1981</v>
      </c>
      <c r="X4">
        <v>1250.5</v>
      </c>
      <c r="Y4">
        <v>1666</v>
      </c>
      <c r="Z4">
        <v>94.589610658065595</v>
      </c>
      <c r="AA4">
        <v>1870.64</v>
      </c>
      <c r="AB4">
        <v>1782.5</v>
      </c>
      <c r="AC4">
        <v>3.5916287999999998E-2</v>
      </c>
      <c r="AD4">
        <v>3.8035199999999998E-2</v>
      </c>
      <c r="AE4">
        <v>2.4009599999999999E-2</v>
      </c>
      <c r="AF4">
        <v>3.15779497709682E-2</v>
      </c>
      <c r="AG4">
        <v>1.7928847384248701E-3</v>
      </c>
      <c r="AH4">
        <v>3.5916287999999998E-2</v>
      </c>
      <c r="AI4">
        <v>3.5916287999999998E-2</v>
      </c>
      <c r="AJ4">
        <v>555.04499999999996</v>
      </c>
      <c r="AK4">
        <v>585.44875000000002</v>
      </c>
      <c r="AL4">
        <v>557.47730000000001</v>
      </c>
      <c r="AM4">
        <v>587</v>
      </c>
      <c r="AN4">
        <v>609.13499999999999</v>
      </c>
      <c r="AO4">
        <v>0.46899999999999997</v>
      </c>
      <c r="AP4">
        <v>1</v>
      </c>
      <c r="AQ4">
        <v>0.94</v>
      </c>
      <c r="AR4" t="s">
        <v>52</v>
      </c>
      <c r="AS4">
        <v>1</v>
      </c>
      <c r="AT4">
        <v>0.89</v>
      </c>
      <c r="AU4">
        <v>0.94</v>
      </c>
      <c r="AV4" t="s">
        <v>52</v>
      </c>
      <c r="AW4">
        <v>9.2999999999999999E-2</v>
      </c>
      <c r="AX4">
        <v>9.2999999999999999E-2</v>
      </c>
      <c r="AY4">
        <v>9.2999999999999999E-2</v>
      </c>
      <c r="AZ4">
        <v>9.2999999999999999E-2</v>
      </c>
    </row>
    <row r="5" spans="1:52" x14ac:dyDescent="0.75">
      <c r="A5" t="s">
        <v>67</v>
      </c>
      <c r="B5">
        <v>22.75</v>
      </c>
      <c r="C5">
        <v>158</v>
      </c>
      <c r="D5">
        <v>132</v>
      </c>
      <c r="E5">
        <v>403.5</v>
      </c>
      <c r="F5" t="s">
        <v>57</v>
      </c>
      <c r="G5" t="s">
        <v>58</v>
      </c>
      <c r="H5">
        <v>260.7</v>
      </c>
      <c r="I5">
        <v>260.7</v>
      </c>
      <c r="J5">
        <v>271</v>
      </c>
      <c r="K5">
        <v>402.6</v>
      </c>
      <c r="L5">
        <v>111</v>
      </c>
      <c r="M5">
        <v>152</v>
      </c>
      <c r="N5">
        <v>168</v>
      </c>
      <c r="O5">
        <v>104</v>
      </c>
      <c r="P5">
        <v>170.48</v>
      </c>
      <c r="Q5">
        <v>414</v>
      </c>
      <c r="R5">
        <v>545.04</v>
      </c>
      <c r="S5">
        <v>97</v>
      </c>
      <c r="T5">
        <v>355</v>
      </c>
      <c r="U5">
        <v>23</v>
      </c>
      <c r="V5">
        <v>479.48</v>
      </c>
      <c r="W5">
        <v>890</v>
      </c>
      <c r="X5">
        <v>1307.24</v>
      </c>
      <c r="Y5">
        <v>1091.5999999999999</v>
      </c>
      <c r="Z5">
        <v>33.582138109417599</v>
      </c>
      <c r="AA5">
        <v>479.48</v>
      </c>
      <c r="AB5">
        <v>914.5</v>
      </c>
      <c r="AC5">
        <v>1.42915052160954E-2</v>
      </c>
      <c r="AD5">
        <v>2.6527570789865899E-2</v>
      </c>
      <c r="AE5">
        <v>3.8963934426229502E-2</v>
      </c>
      <c r="AF5">
        <v>5.0246260069044903E-2</v>
      </c>
      <c r="AG5">
        <v>1.54578311205605E-3</v>
      </c>
      <c r="AH5">
        <v>1.42915052160954E-2</v>
      </c>
      <c r="AI5">
        <v>1.42915052160954E-2</v>
      </c>
      <c r="AJ5">
        <v>341.91416666666697</v>
      </c>
      <c r="AK5">
        <v>386.22833333333301</v>
      </c>
      <c r="AL5">
        <v>345.45929999999998</v>
      </c>
      <c r="AM5">
        <v>380</v>
      </c>
      <c r="AN5">
        <v>393.02666666666698</v>
      </c>
      <c r="AO5">
        <v>0.42899999999999999</v>
      </c>
      <c r="AP5">
        <v>1</v>
      </c>
      <c r="AQ5">
        <v>0.9</v>
      </c>
      <c r="AR5" t="s">
        <v>52</v>
      </c>
      <c r="AS5">
        <v>1</v>
      </c>
      <c r="AT5">
        <v>0.9</v>
      </c>
      <c r="AU5">
        <v>0.93</v>
      </c>
      <c r="AV5" t="s">
        <v>52</v>
      </c>
      <c r="AW5">
        <v>0.48199999999999998</v>
      </c>
      <c r="AX5">
        <v>0.189</v>
      </c>
      <c r="AY5">
        <v>0.48199999999999998</v>
      </c>
      <c r="AZ5">
        <v>0.189</v>
      </c>
    </row>
    <row r="6" spans="1:52" x14ac:dyDescent="0.75">
      <c r="A6" t="s">
        <v>59</v>
      </c>
      <c r="B6">
        <v>50.1</v>
      </c>
      <c r="C6">
        <v>144</v>
      </c>
      <c r="D6">
        <v>216</v>
      </c>
      <c r="E6">
        <v>239.4</v>
      </c>
      <c r="F6" t="s">
        <v>60</v>
      </c>
      <c r="G6" t="s">
        <v>61</v>
      </c>
      <c r="H6">
        <v>156</v>
      </c>
      <c r="I6">
        <v>156</v>
      </c>
      <c r="J6" t="s">
        <v>52</v>
      </c>
      <c r="K6" t="s">
        <v>52</v>
      </c>
      <c r="L6">
        <v>79</v>
      </c>
      <c r="M6">
        <v>118</v>
      </c>
      <c r="N6">
        <v>118</v>
      </c>
      <c r="O6">
        <v>120</v>
      </c>
      <c r="P6">
        <v>1444</v>
      </c>
      <c r="Q6">
        <v>1428</v>
      </c>
      <c r="R6">
        <v>1428</v>
      </c>
      <c r="S6">
        <v>1428</v>
      </c>
      <c r="T6">
        <v>1028</v>
      </c>
      <c r="U6">
        <v>696</v>
      </c>
      <c r="V6">
        <v>3770</v>
      </c>
      <c r="W6">
        <v>1740</v>
      </c>
      <c r="X6">
        <v>1740</v>
      </c>
      <c r="Y6">
        <v>1366.6666666666699</v>
      </c>
      <c r="Z6">
        <v>369.15820155832603</v>
      </c>
      <c r="AA6">
        <v>1740</v>
      </c>
      <c r="AB6">
        <v>1060</v>
      </c>
      <c r="AC6">
        <v>0.28999999999999998</v>
      </c>
      <c r="AD6">
        <v>0.133846153846154</v>
      </c>
      <c r="AE6">
        <v>0.133846153846154</v>
      </c>
      <c r="AF6">
        <v>0.133846153846154</v>
      </c>
      <c r="AG6">
        <v>2.8396784735255899E-2</v>
      </c>
      <c r="AH6">
        <v>2.8396784735255899E-2</v>
      </c>
      <c r="AI6">
        <v>8.1538461538461504E-2</v>
      </c>
      <c r="AJ6">
        <v>219.64673716275701</v>
      </c>
      <c r="AK6">
        <v>256.14891625139398</v>
      </c>
      <c r="AL6">
        <v>257.46937903834402</v>
      </c>
      <c r="AM6">
        <v>236</v>
      </c>
      <c r="AN6">
        <v>258.01980833155</v>
      </c>
      <c r="AO6">
        <v>0.20399999999999999</v>
      </c>
      <c r="AP6">
        <v>0.94</v>
      </c>
      <c r="AQ6">
        <v>0.93</v>
      </c>
      <c r="AR6">
        <v>0.93</v>
      </c>
      <c r="AS6">
        <v>0.93</v>
      </c>
      <c r="AT6">
        <v>0.88</v>
      </c>
      <c r="AU6">
        <v>0.93</v>
      </c>
      <c r="AV6" t="s">
        <v>52</v>
      </c>
      <c r="AW6">
        <v>1</v>
      </c>
      <c r="AX6">
        <v>0.14000000000000001</v>
      </c>
      <c r="AY6">
        <v>0.84</v>
      </c>
      <c r="AZ6">
        <v>0.12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00E8-CAE4-4534-AD07-E4171B3152BB}">
  <dimension ref="A1:BC9"/>
  <sheetViews>
    <sheetView tabSelected="1" workbookViewId="0">
      <pane xSplit="1" ySplit="1" topLeftCell="AC2" activePane="bottomRight" state="frozen"/>
      <selection pane="topRight" activeCell="B1" sqref="B1"/>
      <selection pane="bottomLeft" activeCell="A2" sqref="A2"/>
      <selection pane="bottomRight" activeCell="AO9" sqref="AO9"/>
    </sheetView>
  </sheetViews>
  <sheetFormatPr defaultRowHeight="14.75" x14ac:dyDescent="0.75"/>
  <cols>
    <col min="6" max="6" width="19.36328125" customWidth="1"/>
    <col min="9" max="9" width="9.31640625" bestFit="1" customWidth="1"/>
    <col min="10" max="10" width="10.86328125" bestFit="1" customWidth="1"/>
    <col min="11" max="11" width="10.54296875" bestFit="1" customWidth="1"/>
    <col min="12" max="12" width="10.54296875" customWidth="1"/>
    <col min="25" max="25" width="8.2265625" bestFit="1" customWidth="1"/>
    <col min="26" max="26" width="11.6796875" bestFit="1" customWidth="1"/>
    <col min="27" max="27" width="13.7265625" bestFit="1" customWidth="1"/>
    <col min="37" max="37" width="11.6796875" bestFit="1" customWidth="1"/>
    <col min="38" max="38" width="12" bestFit="1" customWidth="1"/>
    <col min="39" max="39" width="14" bestFit="1" customWidth="1"/>
    <col min="40" max="40" width="9.76953125" bestFit="1" customWidth="1"/>
    <col min="41" max="41" width="11.6796875" bestFit="1" customWidth="1"/>
    <col min="42" max="42" width="14.08984375" bestFit="1" customWidth="1"/>
    <col min="43" max="44" width="14.08984375" customWidth="1"/>
  </cols>
  <sheetData>
    <row r="1" spans="1:5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63</v>
      </c>
      <c r="I1" t="s">
        <v>7</v>
      </c>
      <c r="J1" t="s">
        <v>8</v>
      </c>
      <c r="K1" t="s">
        <v>9</v>
      </c>
      <c r="L1" t="s">
        <v>71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62</v>
      </c>
      <c r="AQ1" t="s">
        <v>69</v>
      </c>
      <c r="AR1" t="s">
        <v>70</v>
      </c>
      <c r="AS1" t="s">
        <v>39</v>
      </c>
      <c r="AT1" t="s">
        <v>40</v>
      </c>
      <c r="AU1" t="s">
        <v>41</v>
      </c>
      <c r="AV1" t="s">
        <v>42</v>
      </c>
      <c r="AW1" t="s">
        <v>43</v>
      </c>
      <c r="AX1" t="s">
        <v>44</v>
      </c>
      <c r="AY1" t="s">
        <v>45</v>
      </c>
      <c r="AZ1" t="s">
        <v>46</v>
      </c>
      <c r="BA1" t="s">
        <v>47</v>
      </c>
      <c r="BB1" t="s">
        <v>48</v>
      </c>
      <c r="BC1" t="s">
        <v>49</v>
      </c>
    </row>
    <row r="2" spans="1:55" x14ac:dyDescent="0.75">
      <c r="A2" t="s">
        <v>64</v>
      </c>
      <c r="B2">
        <v>5</v>
      </c>
      <c r="C2">
        <v>155</v>
      </c>
      <c r="D2">
        <v>150</v>
      </c>
      <c r="E2">
        <v>510</v>
      </c>
      <c r="F2" t="s">
        <v>50</v>
      </c>
      <c r="G2" t="s">
        <v>51</v>
      </c>
      <c r="H2">
        <v>12</v>
      </c>
      <c r="I2" t="s">
        <v>52</v>
      </c>
      <c r="J2">
        <v>12</v>
      </c>
      <c r="K2">
        <v>44</v>
      </c>
      <c r="L2">
        <f>434/12</f>
        <v>36.166666666666664</v>
      </c>
      <c r="M2" t="s">
        <v>52</v>
      </c>
      <c r="N2" t="s">
        <v>52</v>
      </c>
      <c r="O2">
        <v>166</v>
      </c>
      <c r="P2">
        <v>120</v>
      </c>
      <c r="Q2" t="s">
        <v>52</v>
      </c>
      <c r="R2" t="s">
        <v>52</v>
      </c>
      <c r="S2">
        <v>353.64</v>
      </c>
      <c r="T2">
        <v>453</v>
      </c>
      <c r="U2">
        <v>287</v>
      </c>
      <c r="V2">
        <v>187</v>
      </c>
      <c r="W2" t="s">
        <v>52</v>
      </c>
      <c r="X2" t="s">
        <v>52</v>
      </c>
      <c r="Y2">
        <v>510.37999999999994</v>
      </c>
      <c r="Z2">
        <v>0.36975000000000002</v>
      </c>
      <c r="AA2">
        <v>133.04087717690399</v>
      </c>
      <c r="AB2">
        <v>1037.5</v>
      </c>
      <c r="AC2">
        <v>440</v>
      </c>
      <c r="AD2">
        <v>0</v>
      </c>
      <c r="AE2">
        <v>0</v>
      </c>
      <c r="AF2">
        <v>1.17104397705545E-2</v>
      </c>
      <c r="AG2">
        <v>8.4837476099426396E-3</v>
      </c>
      <c r="AH2">
        <v>3.0525631474624202E-3</v>
      </c>
      <c r="AI2">
        <v>2.38049713193117E-2</v>
      </c>
      <c r="AJ2">
        <v>2.38049713193117E-2</v>
      </c>
      <c r="AK2">
        <v>-20.2285</v>
      </c>
      <c r="AL2">
        <v>34.938000000000002</v>
      </c>
      <c r="AM2">
        <v>1.8381000000000101</v>
      </c>
      <c r="AN2">
        <v>25</v>
      </c>
      <c r="AO2">
        <v>63</v>
      </c>
      <c r="AP2">
        <v>6.9000000000000006E-2</v>
      </c>
      <c r="AQ2">
        <v>0.85337669999999999</v>
      </c>
      <c r="AR2">
        <v>1.0849169999999999</v>
      </c>
      <c r="AS2">
        <v>0.93</v>
      </c>
      <c r="AT2">
        <v>0.91</v>
      </c>
      <c r="AU2" t="s">
        <v>52</v>
      </c>
      <c r="AV2">
        <v>0.78</v>
      </c>
      <c r="AW2">
        <v>0.9</v>
      </c>
      <c r="AX2">
        <v>0.93</v>
      </c>
      <c r="AY2" t="s">
        <v>52</v>
      </c>
      <c r="AZ2">
        <v>0.98399999999999999</v>
      </c>
      <c r="BA2">
        <v>1.9E-2</v>
      </c>
      <c r="BB2">
        <v>0.98399999999999999</v>
      </c>
      <c r="BC2">
        <v>1.9E-2</v>
      </c>
    </row>
    <row r="3" spans="1:55" x14ac:dyDescent="0.75">
      <c r="A3" t="s">
        <v>65</v>
      </c>
      <c r="B3">
        <v>8</v>
      </c>
      <c r="C3">
        <v>155</v>
      </c>
      <c r="D3">
        <v>150</v>
      </c>
      <c r="E3">
        <v>492</v>
      </c>
      <c r="F3" t="s">
        <v>53</v>
      </c>
      <c r="G3" t="s">
        <v>54</v>
      </c>
      <c r="H3">
        <v>9</v>
      </c>
      <c r="I3" t="s">
        <v>52</v>
      </c>
      <c r="J3">
        <v>9</v>
      </c>
      <c r="K3">
        <v>27</v>
      </c>
      <c r="L3">
        <f>410/12</f>
        <v>34.166666666666664</v>
      </c>
      <c r="M3" t="s">
        <v>52</v>
      </c>
      <c r="N3" t="s">
        <v>52</v>
      </c>
      <c r="O3">
        <v>161</v>
      </c>
      <c r="P3">
        <v>120</v>
      </c>
      <c r="Q3" t="s">
        <v>52</v>
      </c>
      <c r="R3" t="s">
        <v>52</v>
      </c>
      <c r="S3">
        <v>45.24</v>
      </c>
      <c r="T3">
        <v>145</v>
      </c>
      <c r="U3">
        <v>0</v>
      </c>
      <c r="V3">
        <v>117</v>
      </c>
      <c r="W3" t="s">
        <v>52</v>
      </c>
      <c r="X3" t="s">
        <v>52</v>
      </c>
      <c r="Y3">
        <v>64.739999999999995</v>
      </c>
      <c r="Z3">
        <v>2.76666666666667E-2</v>
      </c>
      <c r="AA3">
        <v>32</v>
      </c>
      <c r="AB3">
        <v>207.5</v>
      </c>
      <c r="AC3">
        <v>0</v>
      </c>
      <c r="AD3">
        <v>0</v>
      </c>
      <c r="AE3">
        <v>0</v>
      </c>
      <c r="AF3">
        <v>2.4052012383900898E-3</v>
      </c>
      <c r="AG3">
        <v>1.0278637770897801E-3</v>
      </c>
      <c r="AH3">
        <v>1.1888544891640899E-3</v>
      </c>
      <c r="AI3">
        <v>7.7089783281733704E-3</v>
      </c>
      <c r="AJ3">
        <v>7.7089783281733704E-3</v>
      </c>
      <c r="AK3">
        <v>197.62799999999999</v>
      </c>
      <c r="AL3">
        <v>178.17949999999999</v>
      </c>
      <c r="AM3">
        <v>189.8486</v>
      </c>
      <c r="AN3">
        <v>184</v>
      </c>
      <c r="AO3">
        <v>121</v>
      </c>
      <c r="AP3">
        <v>0.112</v>
      </c>
      <c r="AQ3">
        <v>1.1283399999999999</v>
      </c>
      <c r="AR3">
        <v>1.2335229999999999</v>
      </c>
      <c r="AS3">
        <v>0.92</v>
      </c>
      <c r="AT3">
        <v>0.82</v>
      </c>
      <c r="AU3" t="s">
        <v>52</v>
      </c>
      <c r="AV3">
        <v>0.86</v>
      </c>
      <c r="AW3">
        <v>0.92</v>
      </c>
      <c r="AX3">
        <v>0.92</v>
      </c>
      <c r="AY3" t="s">
        <v>52</v>
      </c>
      <c r="AZ3">
        <v>0.66700000000000004</v>
      </c>
      <c r="BA3">
        <v>0.251</v>
      </c>
      <c r="BB3">
        <v>0.66700000000000004</v>
      </c>
      <c r="BC3">
        <v>0.251</v>
      </c>
    </row>
    <row r="4" spans="1:55" x14ac:dyDescent="0.75">
      <c r="A4" t="s">
        <v>66</v>
      </c>
      <c r="B4">
        <v>22.75</v>
      </c>
      <c r="C4">
        <v>158</v>
      </c>
      <c r="D4">
        <v>132</v>
      </c>
      <c r="E4">
        <v>403.5</v>
      </c>
      <c r="F4" t="s">
        <v>55</v>
      </c>
      <c r="G4" t="s">
        <v>56</v>
      </c>
      <c r="H4">
        <v>53</v>
      </c>
      <c r="I4">
        <v>53</v>
      </c>
      <c r="J4">
        <v>16</v>
      </c>
      <c r="K4">
        <v>52</v>
      </c>
      <c r="L4">
        <f>369/12</f>
        <v>30.75</v>
      </c>
      <c r="M4">
        <v>116</v>
      </c>
      <c r="N4">
        <v>152</v>
      </c>
      <c r="O4">
        <v>180</v>
      </c>
      <c r="P4">
        <v>104</v>
      </c>
      <c r="Q4">
        <v>395.56</v>
      </c>
      <c r="R4">
        <v>590</v>
      </c>
      <c r="S4">
        <v>714.4</v>
      </c>
      <c r="T4">
        <v>265</v>
      </c>
      <c r="U4">
        <v>836</v>
      </c>
      <c r="V4">
        <v>121</v>
      </c>
      <c r="W4">
        <v>1870.64</v>
      </c>
      <c r="X4">
        <v>1981</v>
      </c>
      <c r="Y4">
        <v>1250.5</v>
      </c>
      <c r="Z4">
        <v>1.6659999999999999</v>
      </c>
      <c r="AA4">
        <v>94.589610658065595</v>
      </c>
      <c r="AB4">
        <v>1870.64</v>
      </c>
      <c r="AC4">
        <v>1782.5</v>
      </c>
      <c r="AD4">
        <v>3.5916287999999998E-2</v>
      </c>
      <c r="AE4">
        <v>3.8035199999999998E-2</v>
      </c>
      <c r="AF4">
        <v>2.4009599999999999E-2</v>
      </c>
      <c r="AG4">
        <v>3.15779497709682E-2</v>
      </c>
      <c r="AH4">
        <v>1.7928847384248701E-3</v>
      </c>
      <c r="AI4">
        <v>3.5916287999999998E-2</v>
      </c>
      <c r="AJ4">
        <v>3.5916287999999998E-2</v>
      </c>
      <c r="AK4">
        <v>555.04499999999996</v>
      </c>
      <c r="AL4">
        <v>585.44875000000002</v>
      </c>
      <c r="AM4">
        <v>557.47730000000001</v>
      </c>
      <c r="AN4">
        <v>587</v>
      </c>
      <c r="AO4">
        <v>627</v>
      </c>
      <c r="AP4">
        <v>0.46899999999999997</v>
      </c>
      <c r="AQ4">
        <v>1.0665083</v>
      </c>
      <c r="AR4">
        <v>1.979708</v>
      </c>
      <c r="AS4">
        <v>1</v>
      </c>
      <c r="AT4">
        <v>0.94</v>
      </c>
      <c r="AU4" t="s">
        <v>52</v>
      </c>
      <c r="AV4">
        <v>1</v>
      </c>
      <c r="AW4">
        <v>0.89</v>
      </c>
      <c r="AX4">
        <v>0.94</v>
      </c>
      <c r="AY4" t="s">
        <v>52</v>
      </c>
      <c r="AZ4">
        <v>9.2999999999999999E-2</v>
      </c>
      <c r="BA4">
        <v>9.2999999999999999E-2</v>
      </c>
      <c r="BB4">
        <v>9.2999999999999999E-2</v>
      </c>
      <c r="BC4">
        <v>9.2999999999999999E-2</v>
      </c>
    </row>
    <row r="5" spans="1:55" x14ac:dyDescent="0.75">
      <c r="A5" t="s">
        <v>67</v>
      </c>
      <c r="B5">
        <v>22.75</v>
      </c>
      <c r="C5">
        <v>158</v>
      </c>
      <c r="D5">
        <v>132</v>
      </c>
      <c r="E5">
        <v>403.5</v>
      </c>
      <c r="F5" t="s">
        <v>57</v>
      </c>
      <c r="G5" t="s">
        <v>58</v>
      </c>
      <c r="H5">
        <v>22</v>
      </c>
      <c r="I5">
        <v>22</v>
      </c>
      <c r="J5">
        <v>23</v>
      </c>
      <c r="K5">
        <v>34</v>
      </c>
      <c r="L5">
        <f>486/12</f>
        <v>40.5</v>
      </c>
      <c r="M5">
        <v>111</v>
      </c>
      <c r="N5">
        <v>152</v>
      </c>
      <c r="O5">
        <v>168</v>
      </c>
      <c r="P5">
        <v>104</v>
      </c>
      <c r="Q5">
        <v>170.48</v>
      </c>
      <c r="R5">
        <v>414</v>
      </c>
      <c r="S5">
        <v>545.04</v>
      </c>
      <c r="T5">
        <v>97</v>
      </c>
      <c r="U5">
        <v>355</v>
      </c>
      <c r="V5">
        <v>23</v>
      </c>
      <c r="W5">
        <v>479.48</v>
      </c>
      <c r="X5">
        <v>890</v>
      </c>
      <c r="Y5">
        <v>1307.24</v>
      </c>
      <c r="Z5">
        <v>1.0915999999999999</v>
      </c>
      <c r="AA5">
        <v>33.582138109417599</v>
      </c>
      <c r="AB5">
        <v>479.48</v>
      </c>
      <c r="AC5">
        <v>914.5</v>
      </c>
      <c r="AD5">
        <v>1.42915052160954E-2</v>
      </c>
      <c r="AE5">
        <v>2.6527570789865899E-2</v>
      </c>
      <c r="AF5">
        <v>3.8963934426229502E-2</v>
      </c>
      <c r="AG5">
        <v>5.0246260069044903E-2</v>
      </c>
      <c r="AH5">
        <v>1.54578311205605E-3</v>
      </c>
      <c r="AI5">
        <v>1.42915052160954E-2</v>
      </c>
      <c r="AJ5">
        <v>1.42915052160954E-2</v>
      </c>
      <c r="AK5">
        <v>341.91416666666697</v>
      </c>
      <c r="AL5">
        <v>386.22833333333301</v>
      </c>
      <c r="AM5">
        <v>345.45929999999998</v>
      </c>
      <c r="AN5">
        <v>380</v>
      </c>
      <c r="AO5">
        <v>325</v>
      </c>
      <c r="AP5">
        <v>0.42899999999999999</v>
      </c>
      <c r="AQ5">
        <v>0.60651109999999997</v>
      </c>
      <c r="AR5">
        <v>1.2279500000000001</v>
      </c>
      <c r="AS5">
        <v>1</v>
      </c>
      <c r="AT5">
        <v>0.9</v>
      </c>
      <c r="AU5" t="s">
        <v>52</v>
      </c>
      <c r="AV5">
        <v>1</v>
      </c>
      <c r="AW5">
        <v>0.9</v>
      </c>
      <c r="AX5">
        <v>0.93</v>
      </c>
      <c r="AY5" t="s">
        <v>52</v>
      </c>
      <c r="AZ5">
        <v>0.48199999999999998</v>
      </c>
      <c r="BA5">
        <v>0.189</v>
      </c>
      <c r="BB5">
        <v>0.48199999999999998</v>
      </c>
      <c r="BC5">
        <v>0.189</v>
      </c>
    </row>
    <row r="6" spans="1:55" x14ac:dyDescent="0.75">
      <c r="A6" t="s">
        <v>59</v>
      </c>
      <c r="B6">
        <v>50.1</v>
      </c>
      <c r="C6">
        <v>144</v>
      </c>
      <c r="D6">
        <v>216</v>
      </c>
      <c r="E6">
        <v>239.4</v>
      </c>
      <c r="F6" t="s">
        <v>60</v>
      </c>
      <c r="G6" t="s">
        <v>61</v>
      </c>
      <c r="H6">
        <v>13</v>
      </c>
      <c r="I6">
        <v>13</v>
      </c>
      <c r="J6" t="s">
        <v>52</v>
      </c>
      <c r="K6" t="s">
        <v>52</v>
      </c>
      <c r="M6">
        <v>79</v>
      </c>
      <c r="N6">
        <v>118</v>
      </c>
      <c r="O6">
        <v>118</v>
      </c>
      <c r="P6">
        <v>120</v>
      </c>
      <c r="Q6">
        <v>1444</v>
      </c>
      <c r="R6">
        <v>1428</v>
      </c>
      <c r="S6">
        <v>1428</v>
      </c>
      <c r="T6">
        <v>1428</v>
      </c>
      <c r="U6">
        <v>1028</v>
      </c>
      <c r="V6">
        <v>696</v>
      </c>
      <c r="W6">
        <v>3770</v>
      </c>
      <c r="X6">
        <v>1740</v>
      </c>
      <c r="Y6">
        <v>1740</v>
      </c>
      <c r="Z6">
        <v>1.36666666666667</v>
      </c>
      <c r="AA6">
        <v>369.15820155832603</v>
      </c>
      <c r="AB6">
        <v>1740</v>
      </c>
      <c r="AC6">
        <v>1060</v>
      </c>
      <c r="AD6">
        <v>0.28999999999999998</v>
      </c>
      <c r="AE6">
        <v>0.133846153846154</v>
      </c>
      <c r="AF6">
        <v>0.133846153846154</v>
      </c>
      <c r="AG6">
        <v>0.133846153846154</v>
      </c>
      <c r="AH6">
        <v>2.8396784735255899E-2</v>
      </c>
      <c r="AI6">
        <v>2.8396784735255899E-2</v>
      </c>
      <c r="AJ6">
        <v>8.1538461538461504E-2</v>
      </c>
      <c r="AK6">
        <v>219.64673716275701</v>
      </c>
      <c r="AL6">
        <v>256.14891625139398</v>
      </c>
      <c r="AM6">
        <v>257.46937903834402</v>
      </c>
      <c r="AN6">
        <v>236</v>
      </c>
      <c r="AO6">
        <v>341</v>
      </c>
      <c r="AP6">
        <v>0.218</v>
      </c>
      <c r="AQ6">
        <v>2.0392412000000002</v>
      </c>
      <c r="AR6">
        <v>2.5760179999999999</v>
      </c>
      <c r="AS6">
        <v>0.94</v>
      </c>
      <c r="AT6">
        <v>0.93</v>
      </c>
      <c r="AU6">
        <v>0.93</v>
      </c>
      <c r="AV6">
        <v>0.93</v>
      </c>
      <c r="AW6">
        <v>0.88</v>
      </c>
      <c r="AX6">
        <v>0.93</v>
      </c>
      <c r="AY6" t="s">
        <v>52</v>
      </c>
      <c r="AZ6">
        <v>1</v>
      </c>
      <c r="BA6">
        <v>0.14000000000000001</v>
      </c>
      <c r="BB6">
        <v>0.84</v>
      </c>
      <c r="BC6">
        <v>0.12</v>
      </c>
    </row>
    <row r="7" spans="1:55" x14ac:dyDescent="0.75">
      <c r="A7" t="s">
        <v>68</v>
      </c>
      <c r="B7" t="s">
        <v>52</v>
      </c>
      <c r="C7" t="s">
        <v>52</v>
      </c>
      <c r="D7" t="s">
        <v>52</v>
      </c>
      <c r="E7" t="s">
        <v>52</v>
      </c>
      <c r="F7" t="s">
        <v>52</v>
      </c>
      <c r="G7" t="s">
        <v>52</v>
      </c>
      <c r="H7">
        <v>75</v>
      </c>
      <c r="I7">
        <v>75</v>
      </c>
      <c r="J7" t="s">
        <v>52</v>
      </c>
      <c r="K7" t="s">
        <v>52</v>
      </c>
      <c r="M7" t="s">
        <v>52</v>
      </c>
      <c r="N7" t="s">
        <v>52</v>
      </c>
      <c r="O7">
        <f>AVERAGE(65,93,127)</f>
        <v>95</v>
      </c>
      <c r="P7" t="s">
        <v>52</v>
      </c>
      <c r="Q7" t="s">
        <v>52</v>
      </c>
      <c r="R7" t="s">
        <v>52</v>
      </c>
      <c r="S7" t="s">
        <v>52</v>
      </c>
      <c r="T7" t="s">
        <v>52</v>
      </c>
      <c r="U7" t="s">
        <v>52</v>
      </c>
      <c r="V7" t="s">
        <v>52</v>
      </c>
      <c r="W7" t="s">
        <v>52</v>
      </c>
      <c r="X7" t="s">
        <v>52</v>
      </c>
      <c r="Y7">
        <f>14.2*1000</f>
        <v>14200</v>
      </c>
      <c r="Z7">
        <v>11</v>
      </c>
      <c r="AA7" t="s">
        <v>52</v>
      </c>
      <c r="AB7" t="s">
        <v>52</v>
      </c>
      <c r="AC7" t="s">
        <v>52</v>
      </c>
      <c r="AD7" t="s">
        <v>52</v>
      </c>
      <c r="AE7" t="s">
        <v>52</v>
      </c>
      <c r="AF7" t="s">
        <v>52</v>
      </c>
      <c r="AG7" t="s">
        <v>52</v>
      </c>
      <c r="AH7" t="s">
        <v>52</v>
      </c>
      <c r="AI7" t="s">
        <v>52</v>
      </c>
      <c r="AJ7" t="s">
        <v>52</v>
      </c>
      <c r="AK7" t="s">
        <v>52</v>
      </c>
      <c r="AL7" t="s">
        <v>52</v>
      </c>
      <c r="AM7" t="s">
        <v>52</v>
      </c>
      <c r="AN7">
        <f>(1785+447)-(1002+372)</f>
        <v>858</v>
      </c>
      <c r="AO7">
        <v>1833</v>
      </c>
      <c r="AP7">
        <v>0.58599999999999997</v>
      </c>
      <c r="AQ7">
        <v>1.9426334999999999</v>
      </c>
      <c r="AR7">
        <v>6.3454199999999998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t="s">
        <v>52</v>
      </c>
      <c r="AY7" t="s">
        <v>52</v>
      </c>
      <c r="AZ7" t="s">
        <v>52</v>
      </c>
      <c r="BA7" t="s">
        <v>52</v>
      </c>
      <c r="BB7" t="s">
        <v>52</v>
      </c>
      <c r="BC7" t="s">
        <v>52</v>
      </c>
    </row>
    <row r="9" spans="1:55" ht="44.25" customHeight="1" x14ac:dyDescent="0.7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B64BB-2911-49B1-88D3-CD2D0E18C7CA}"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Romero-Romero2020</vt:lpstr>
      <vt:lpstr>Romero-Romero2020(wPAP)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CHShea</dc:creator>
  <cp:lastModifiedBy>Connor Shea</cp:lastModifiedBy>
  <dcterms:created xsi:type="dcterms:W3CDTF">2023-11-05T23:27:14Z</dcterms:created>
  <dcterms:modified xsi:type="dcterms:W3CDTF">2025-09-22T20:05:56Z</dcterms:modified>
</cp:coreProperties>
</file>